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amp; Speedup" sheetId="1" state="visible" r:id="rId1"/>
    <sheet xmlns:r="http://schemas.openxmlformats.org/officeDocument/2006/relationships" name="Rodadas Detalhadas (QA)" sheetId="2" state="visible" r:id="rId2"/>
    <sheet xmlns:r="http://schemas.openxmlformats.org/officeDocument/2006/relationships" name="Justificativa &amp; Análise" sheetId="3" state="visible" r:id="rId3"/>
  </sheets>
  <definedNames/>
  <calcPr calcId="124519" fullCalcOnLoad="1"/>
</workbook>
</file>

<file path=xl/styles.xml><?xml version="1.0" encoding="utf-8"?>
<styleSheet xmlns="http://schemas.openxmlformats.org/spreadsheetml/2006/main">
  <numFmts count="2">
    <numFmt numFmtId="164" formatCode="0.00&quot;x&quot;"/>
    <numFmt numFmtId="165" formatCode="0.0%"/>
  </numFmts>
  <fonts count="7">
    <font>
      <name val="Calibri"/>
      <family val="2"/>
      <color theme="1"/>
      <sz val="11"/>
      <scheme val="minor"/>
    </font>
    <font>
      <name val="Segoe UI"/>
      <b val="1"/>
      <color rgb="001F497D"/>
      <sz val="16"/>
    </font>
    <font>
      <name val="Segoe UI"/>
      <i val="1"/>
      <color rgb="00595959"/>
      <sz val="11"/>
    </font>
    <font>
      <name val="Segoe UI"/>
      <b val="1"/>
      <color rgb="001F497D"/>
      <sz val="13"/>
    </font>
    <font>
      <name val="Segoe UI"/>
      <b val="1"/>
      <color rgb="00FFFFFF"/>
      <sz val="11"/>
    </font>
    <font>
      <name val="Segoe UI"/>
      <sz val="11"/>
    </font>
    <font>
      <name val="Segoe UI"/>
      <b val="1"/>
      <sz val="11"/>
    </font>
  </fonts>
  <fills count="5">
    <fill>
      <patternFill/>
    </fill>
    <fill>
      <patternFill patternType="gray125"/>
    </fill>
    <fill>
      <patternFill patternType="solid">
        <fgColor rgb="001F497D"/>
        <bgColor rgb="001F497D"/>
      </patternFill>
    </fill>
    <fill>
      <patternFill patternType="solid">
        <fgColor rgb="002E75B6"/>
        <bgColor rgb="002E75B6"/>
      </patternFill>
    </fill>
    <fill>
      <patternFill patternType="solid">
        <fgColor rgb="00D9E1F2"/>
        <bgColor rgb="00D9E1F2"/>
      </patternFill>
    </fill>
  </fills>
  <borders count="3">
    <border>
      <left/>
      <right/>
      <top/>
      <bottom/>
      <diagonal/>
    </border>
    <border>
      <left style="thin">
        <color rgb="00D3D3D3"/>
      </left>
      <right style="thin">
        <color rgb="00D3D3D3"/>
      </right>
      <top style="thin">
        <color rgb="00D3D3D3"/>
      </top>
      <bottom style="medium">
        <color rgb="001F497D"/>
      </bottom>
    </border>
    <border>
      <left style="thin">
        <color rgb="00D3D3D3"/>
      </left>
      <right style="thin">
        <color rgb="00D3D3D3"/>
      </right>
      <top style="thin">
        <color rgb="00D3D3D3"/>
      </top>
      <bottom style="thin">
        <color rgb="00D3D3D3"/>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left" vertical="center"/>
    </xf>
    <xf numFmtId="2" fontId="5" fillId="0" borderId="2" applyAlignment="1" pivotButton="0" quotePrefix="0" xfId="0">
      <alignment horizontal="center" vertical="center"/>
    </xf>
    <xf numFmtId="0" fontId="4" fillId="3" borderId="1" applyAlignment="1" pivotButton="0" quotePrefix="0" xfId="0">
      <alignment horizontal="center" vertical="center"/>
    </xf>
    <xf numFmtId="164" fontId="5" fillId="0" borderId="2" applyAlignment="1" pivotButton="0" quotePrefix="0" xfId="0">
      <alignment horizontal="center" vertical="center"/>
    </xf>
    <xf numFmtId="165" fontId="5" fillId="0" borderId="2" applyAlignment="1" pivotButton="0" quotePrefix="0" xfId="0">
      <alignment horizontal="center" vertical="center"/>
    </xf>
    <xf numFmtId="0" fontId="5" fillId="0" borderId="2" applyAlignment="1" pivotButton="0" quotePrefix="0" xfId="0">
      <alignment horizontal="center" vertical="center"/>
    </xf>
    <xf numFmtId="1" fontId="5" fillId="0" borderId="2" applyAlignment="1" pivotButton="0" quotePrefix="0" xfId="0">
      <alignment horizontal="center" vertical="center"/>
    </xf>
    <xf numFmtId="2" fontId="6" fillId="4" borderId="2" applyAlignment="1" pivotButton="0" quotePrefix="0" xfId="0">
      <alignment horizontal="center" vertical="center"/>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Tempo de Execução por Nº de Threads (ms)</a:t>
            </a:r>
          </a:p>
        </rich>
      </tx>
    </title>
    <plotArea>
      <barChart>
        <barDir val="col"/>
        <grouping val="clustered"/>
        <ser>
          <idx val="0"/>
          <order val="0"/>
          <tx>
            <strRef>
              <f>'Resumo &amp; Speedup'!A5</f>
            </strRef>
          </tx>
          <spPr>
            <a:ln xmlns:a="http://schemas.openxmlformats.org/drawingml/2006/main">
              <a:prstDash val="solid"/>
            </a:ln>
          </spPr>
          <cat>
            <numRef>
              <f>'Resumo &amp; Speedup'!$B$5:$E$5</f>
            </numRef>
          </cat>
          <val>
            <numRef>
              <f>'Resumo &amp; Speedup'!$B$5:$E$5</f>
            </numRef>
          </val>
        </ser>
        <ser>
          <idx val="1"/>
          <order val="1"/>
          <tx>
            <strRef>
              <f>'Resumo &amp; Speedup'!A6</f>
            </strRef>
          </tx>
          <spPr>
            <a:ln xmlns:a="http://schemas.openxmlformats.org/drawingml/2006/main">
              <a:prstDash val="solid"/>
            </a:ln>
          </spPr>
          <cat>
            <numRef>
              <f>'Resumo &amp; Speedup'!$B$5:$E$5</f>
            </numRef>
          </cat>
          <val>
            <numRef>
              <f>'Resumo &amp; Speedup'!$B$6:$E$6</f>
            </numRef>
          </val>
        </ser>
        <ser>
          <idx val="2"/>
          <order val="2"/>
          <tx>
            <strRef>
              <f>'Resumo &amp; Speedup'!A7</f>
            </strRef>
          </tx>
          <spPr>
            <a:ln xmlns:a="http://schemas.openxmlformats.org/drawingml/2006/main">
              <a:prstDash val="solid"/>
            </a:ln>
          </spPr>
          <cat>
            <numRef>
              <f>'Resumo &amp; Speedup'!$B$5:$E$5</f>
            </numRef>
          </cat>
          <val>
            <numRef>
              <f>'Resumo &amp; Speedup'!$B$7:$E$7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Configuração de Threads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Tempo (ms)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Speedup Atingido vs. Linear Ideal</a:t>
            </a:r>
          </a:p>
        </rich>
      </tx>
    </title>
    <plotArea>
      <lineChart>
        <grouping val="standard"/>
        <ser>
          <idx val="0"/>
          <order val="0"/>
          <tx>
            <strRef>
              <f>'Resumo &amp; Speedup'!A10</f>
            </strRef>
          </tx>
          <spPr>
            <a:ln xmlns:a="http://schemas.openxmlformats.org/drawingml/2006/main">
              <a:prstDash val="solid"/>
            </a:ln>
          </spPr>
          <marker>
            <symbol val="none"/>
            <spPr>
              <a:ln xmlns:a="http://schemas.openxmlformats.org/drawingml/2006/main">
                <a:prstDash val="solid"/>
              </a:ln>
            </spPr>
          </marker>
          <cat>
            <numRef>
              <f>'Resumo &amp; Speedup'!$B$10:$E$10</f>
            </numRef>
          </cat>
          <val>
            <numRef>
              <f>'Resumo &amp; Speedup'!$B$10:$E$10</f>
            </numRef>
          </val>
        </ser>
        <ser>
          <idx val="1"/>
          <order val="1"/>
          <tx>
            <strRef>
              <f>'Resumo &amp; Speedup'!A11</f>
            </strRef>
          </tx>
          <spPr>
            <a:ln xmlns:a="http://schemas.openxmlformats.org/drawingml/2006/main">
              <a:prstDash val="solid"/>
            </a:ln>
          </spPr>
          <marker>
            <symbol val="none"/>
            <spPr>
              <a:ln xmlns:a="http://schemas.openxmlformats.org/drawingml/2006/main">
                <a:prstDash val="solid"/>
              </a:ln>
            </spPr>
          </marker>
          <cat>
            <numRef>
              <f>'Resumo &amp; Speedup'!$B$10:$E$10</f>
            </numRef>
          </cat>
          <val>
            <numRef>
              <f>'Resumo &amp; Speedup'!$B$11:$E$11</f>
            </numRef>
          </val>
        </ser>
        <ser>
          <idx val="2"/>
          <order val="2"/>
          <tx>
            <strRef>
              <f>'Resumo &amp; Speedup'!A12</f>
            </strRef>
          </tx>
          <spPr>
            <a:ln xmlns:a="http://schemas.openxmlformats.org/drawingml/2006/main">
              <a:prstDash val="solid"/>
            </a:ln>
          </spPr>
          <marker>
            <symbol val="none"/>
            <spPr>
              <a:ln xmlns:a="http://schemas.openxmlformats.org/drawingml/2006/main">
                <a:prstDash val="solid"/>
              </a:ln>
            </spPr>
          </marker>
          <cat>
            <numRef>
              <f>'Resumo &amp; Speedup'!$B$10:$E$10</f>
            </numRef>
          </cat>
          <val>
            <numRef>
              <f>'Resumo &amp; Speedup'!$B$12:$E$12</f>
            </numRef>
          </val>
        </ser>
        <axId val="10"/>
        <axId val="100"/>
      </lineChart>
      <catAx>
        <axId val="10"/>
        <scaling>
          <orientation val="minMax"/>
        </scaling>
        <axPos val="l"/>
        <title>
          <tx>
            <rich>
              <a:bodyPr xmlns:a="http://schemas.openxmlformats.org/drawingml/2006/main"/>
              <a:p xmlns:a="http://schemas.openxmlformats.org/drawingml/2006/main">
                <a:pPr>
                  <a:defRPr/>
                </a:pPr>
                <a:r>
                  <a:t>Número de Threads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Speedup</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3</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19</row>
      <rowOff>0</rowOff>
    </from>
    <ext cx="576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7"/>
  <sheetViews>
    <sheetView showGridLines="1" workbookViewId="0">
      <selection activeCell="A1" sqref="A1"/>
    </sheetView>
  </sheetViews>
  <sheetFormatPr baseColWidth="8" defaultRowHeight="15"/>
  <cols>
    <col width="50" customWidth="1" min="1" max="1"/>
    <col width="25" customWidth="1" min="2" max="2"/>
    <col width="13" customWidth="1" min="3" max="3"/>
    <col width="13" customWidth="1" min="4" max="4"/>
    <col width="13" customWidth="1" min="5" max="5"/>
  </cols>
  <sheetData>
    <row r="1">
      <c r="A1" s="1" t="inlineStr">
        <is>
          <t>Rota Vital - Análise de Desempenho Concorrente</t>
        </is>
      </c>
    </row>
    <row r="2">
      <c r="A2" s="2" t="inlineStr">
        <is>
          <t>Métricas de Tempo de Execução, Speedup e Eficiência (Java 21 / Spring Boot)</t>
        </is>
      </c>
    </row>
    <row r="3"/>
    <row r="4">
      <c r="A4" s="3" t="inlineStr">
        <is>
          <t>1. Tabela de Tempos Médios de Execução (ms)</t>
        </is>
      </c>
    </row>
    <row r="5">
      <c r="A5" s="4" t="inlineStr">
        <is>
          <t>Volume de Registros</t>
        </is>
      </c>
      <c r="B5" s="4" t="inlineStr">
        <is>
          <t>Sequencial (1 Thread)</t>
        </is>
      </c>
      <c r="C5" s="4" t="inlineStr">
        <is>
          <t>2 Threads</t>
        </is>
      </c>
      <c r="D5" s="4" t="inlineStr">
        <is>
          <t>4 Threads</t>
        </is>
      </c>
      <c r="E5" s="4" t="inlineStr">
        <is>
          <t>8 Threads</t>
        </is>
      </c>
    </row>
    <row r="6">
      <c r="A6" s="5" t="inlineStr">
        <is>
          <t>100.000 registros</t>
        </is>
      </c>
      <c r="B6" s="6" t="n">
        <v>7.8</v>
      </c>
      <c r="C6" s="6" t="n">
        <v>10.4</v>
      </c>
      <c r="D6" s="6" t="n">
        <v>8</v>
      </c>
      <c r="E6" s="6" t="n">
        <v>4</v>
      </c>
    </row>
    <row r="7">
      <c r="A7" s="5" t="inlineStr">
        <is>
          <t>1.000.000 registros</t>
        </is>
      </c>
      <c r="B7" s="6" t="n">
        <v>249.8</v>
      </c>
      <c r="C7" s="6" t="n">
        <v>148.8</v>
      </c>
      <c r="D7" s="6" t="n">
        <v>88.40000000000001</v>
      </c>
      <c r="E7" s="6" t="n">
        <v>63.4</v>
      </c>
    </row>
    <row r="8"/>
    <row r="9">
      <c r="A9" s="3" t="inlineStr">
        <is>
          <t>2. Speedup (S = T_sequencial / T_paralelo)</t>
        </is>
      </c>
    </row>
    <row r="10">
      <c r="A10" s="7" t="inlineStr">
        <is>
          <t>Volume de Registros</t>
        </is>
      </c>
      <c r="B10" s="7" t="inlineStr">
        <is>
          <t>1 Thread (Base)</t>
        </is>
      </c>
      <c r="C10" s="7" t="inlineStr">
        <is>
          <t>2 Threads</t>
        </is>
      </c>
      <c r="D10" s="7" t="inlineStr">
        <is>
          <t>4 Threads</t>
        </is>
      </c>
      <c r="E10" s="7" t="inlineStr">
        <is>
          <t>8 Threads</t>
        </is>
      </c>
    </row>
    <row r="11">
      <c r="A11" s="5" t="inlineStr">
        <is>
          <t>100.000 registros</t>
        </is>
      </c>
      <c r="B11" s="8">
        <f>B6/B6</f>
        <v/>
      </c>
      <c r="C11" s="8">
        <f>B6/C6</f>
        <v/>
      </c>
      <c r="D11" s="8">
        <f>B6/D6</f>
        <v/>
      </c>
      <c r="E11" s="8">
        <f>B6/E6</f>
        <v/>
      </c>
    </row>
    <row r="12">
      <c r="A12" s="5" t="inlineStr">
        <is>
          <t>1.000.000 registros</t>
        </is>
      </c>
      <c r="B12" s="8">
        <f>B7/B7</f>
        <v/>
      </c>
      <c r="C12" s="8">
        <f>B7/C7</f>
        <v/>
      </c>
      <c r="D12" s="8">
        <f>B7/D7</f>
        <v/>
      </c>
      <c r="E12" s="8">
        <f>B7/E7</f>
        <v/>
      </c>
    </row>
    <row r="13"/>
    <row r="14">
      <c r="A14" s="3" t="inlineStr">
        <is>
          <t>3. Eficiência de Paralelismo (E = Speedup / Nº de Threads)</t>
        </is>
      </c>
    </row>
    <row r="15">
      <c r="A15" s="7" t="inlineStr">
        <is>
          <t>Volume de Registros</t>
        </is>
      </c>
      <c r="B15" s="7" t="inlineStr">
        <is>
          <t>1 Thread (Base)</t>
        </is>
      </c>
      <c r="C15" s="7" t="inlineStr">
        <is>
          <t>2 Threads</t>
        </is>
      </c>
      <c r="D15" s="7" t="inlineStr">
        <is>
          <t>4 Threads</t>
        </is>
      </c>
      <c r="E15" s="7" t="inlineStr">
        <is>
          <t>8 Threads</t>
        </is>
      </c>
    </row>
    <row r="16">
      <c r="A16" s="5" t="inlineStr">
        <is>
          <t>100.000 registros</t>
        </is>
      </c>
      <c r="B16" s="9">
        <f>B11/1</f>
        <v/>
      </c>
      <c r="C16" s="9">
        <f>C11/2</f>
        <v/>
      </c>
      <c r="D16" s="9">
        <f>D11/4</f>
        <v/>
      </c>
      <c r="E16" s="9">
        <f>E11/8</f>
        <v/>
      </c>
    </row>
    <row r="17">
      <c r="A17" s="5" t="inlineStr">
        <is>
          <t>1.000.000 registros</t>
        </is>
      </c>
      <c r="B17" s="9">
        <f>B12/1</f>
        <v/>
      </c>
      <c r="C17" s="9">
        <f>C12/2</f>
        <v/>
      </c>
      <c r="D17" s="9">
        <f>D12/4</f>
        <v/>
      </c>
      <c r="E17" s="9">
        <f>E12/8</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12"/>
  <sheetViews>
    <sheetView showGridLines="1" workbookViewId="0">
      <selection activeCell="A1" sqref="A1"/>
    </sheetView>
  </sheetViews>
  <sheetFormatPr baseColWidth="8" defaultRowHeight="15"/>
  <cols>
    <col width="48" customWidth="1" min="1" max="1"/>
    <col width="25" customWidth="1" min="2" max="2"/>
    <col width="12" customWidth="1" min="3" max="3"/>
    <col width="12" customWidth="1" min="4" max="4"/>
    <col width="12" customWidth="1" min="5" max="5"/>
    <col width="12" customWidth="1" min="6" max="6"/>
    <col width="12" customWidth="1" min="7" max="7"/>
    <col width="12" customWidth="1" min="8" max="8"/>
    <col width="21" customWidth="1" min="9" max="9"/>
    <col width="17" customWidth="1" min="10" max="10"/>
    <col width="17" customWidth="1" min="11" max="11"/>
  </cols>
  <sheetData>
    <row r="1">
      <c r="A1" s="1" t="inlineStr">
        <is>
          <t>Evidências de QA - Todas as Rodadas de Teste</t>
        </is>
      </c>
    </row>
    <row r="2">
      <c r="A2" s="2" t="inlineStr">
        <is>
          <t>Dados brutos aferidos diretamente dos endpoints REST da aplicação</t>
        </is>
      </c>
    </row>
    <row r="3"/>
    <row r="4">
      <c r="A4" s="4" t="inlineStr">
        <is>
          <t>Volume</t>
        </is>
      </c>
      <c r="B4" s="4" t="inlineStr">
        <is>
          <t>Configuração</t>
        </is>
      </c>
      <c r="C4" s="4" t="inlineStr">
        <is>
          <t>Threads</t>
        </is>
      </c>
      <c r="D4" s="4" t="inlineStr">
        <is>
          <t>R1 (ms)</t>
        </is>
      </c>
      <c r="E4" s="4" t="inlineStr">
        <is>
          <t>R2 (ms)</t>
        </is>
      </c>
      <c r="F4" s="4" t="inlineStr">
        <is>
          <t>R3 (ms)</t>
        </is>
      </c>
      <c r="G4" s="4" t="inlineStr">
        <is>
          <t>R4 (ms)</t>
        </is>
      </c>
      <c r="H4" s="4" t="inlineStr">
        <is>
          <t>R5 (ms)</t>
        </is>
      </c>
      <c r="I4" s="4" t="inlineStr">
        <is>
          <t>Média (ms)</t>
        </is>
      </c>
      <c r="J4" s="4" t="inlineStr">
        <is>
          <t>Mínimo</t>
        </is>
      </c>
      <c r="K4" s="4" t="inlineStr">
        <is>
          <t>Máximo</t>
        </is>
      </c>
    </row>
    <row r="5">
      <c r="A5" s="5" t="inlineStr">
        <is>
          <t>100.000 reqs</t>
        </is>
      </c>
      <c r="B5" s="5" t="inlineStr">
        <is>
          <t>Sequencial (1 thread)</t>
        </is>
      </c>
      <c r="C5" s="10" t="n">
        <v>1</v>
      </c>
      <c r="D5" s="11" t="n">
        <v>9</v>
      </c>
      <c r="E5" s="11" t="n">
        <v>7</v>
      </c>
      <c r="F5" s="11" t="n">
        <v>4</v>
      </c>
      <c r="G5" s="11" t="n">
        <v>12</v>
      </c>
      <c r="H5" s="11" t="n">
        <v>7</v>
      </c>
      <c r="I5" s="12">
        <f>AVERAGE(D5:H5)</f>
        <v/>
      </c>
      <c r="J5" s="6">
        <f>MIN(D5:H5)</f>
        <v/>
      </c>
      <c r="K5" s="6">
        <f>MAX(D5:H5)</f>
        <v/>
      </c>
    </row>
    <row r="6">
      <c r="A6" s="5" t="inlineStr">
        <is>
          <t>100.000 reqs</t>
        </is>
      </c>
      <c r="B6" s="5" t="inlineStr">
        <is>
          <t>Paralelo (2 threads)</t>
        </is>
      </c>
      <c r="C6" s="10" t="n">
        <v>2</v>
      </c>
      <c r="D6" s="11" t="n">
        <v>7</v>
      </c>
      <c r="E6" s="11" t="n">
        <v>8</v>
      </c>
      <c r="F6" s="11" t="n">
        <v>6</v>
      </c>
      <c r="G6" s="11" t="n">
        <v>6</v>
      </c>
      <c r="H6" s="11" t="n">
        <v>25</v>
      </c>
      <c r="I6" s="12">
        <f>AVERAGE(D6:H6)</f>
        <v/>
      </c>
      <c r="J6" s="6">
        <f>MIN(D6:H6)</f>
        <v/>
      </c>
      <c r="K6" s="6">
        <f>MAX(D6:H6)</f>
        <v/>
      </c>
    </row>
    <row r="7">
      <c r="A7" s="5" t="inlineStr">
        <is>
          <t>100.000 reqs</t>
        </is>
      </c>
      <c r="B7" s="5" t="inlineStr">
        <is>
          <t>Paralelo (4 threads)</t>
        </is>
      </c>
      <c r="C7" s="10" t="n">
        <v>4</v>
      </c>
      <c r="D7" s="11" t="n">
        <v>7</v>
      </c>
      <c r="E7" s="11" t="n">
        <v>4</v>
      </c>
      <c r="F7" s="11" t="n">
        <v>3</v>
      </c>
      <c r="G7" s="11" t="n">
        <v>4</v>
      </c>
      <c r="H7" s="11" t="n">
        <v>22</v>
      </c>
      <c r="I7" s="12">
        <f>AVERAGE(D7:H7)</f>
        <v/>
      </c>
      <c r="J7" s="6">
        <f>MIN(D7:H7)</f>
        <v/>
      </c>
      <c r="K7" s="6">
        <f>MAX(D7:H7)</f>
        <v/>
      </c>
    </row>
    <row r="8">
      <c r="A8" s="5" t="inlineStr">
        <is>
          <t>100.000 reqs</t>
        </is>
      </c>
      <c r="B8" s="5" t="inlineStr">
        <is>
          <t>Paralelo (8 threads)</t>
        </is>
      </c>
      <c r="C8" s="10" t="n">
        <v>8</v>
      </c>
      <c r="D8" s="11" t="n">
        <v>4</v>
      </c>
      <c r="E8" s="11" t="n">
        <v>5</v>
      </c>
      <c r="F8" s="11" t="n">
        <v>4</v>
      </c>
      <c r="G8" s="11" t="n">
        <v>4</v>
      </c>
      <c r="H8" s="11" t="n">
        <v>3</v>
      </c>
      <c r="I8" s="12">
        <f>AVERAGE(D8:H8)</f>
        <v/>
      </c>
      <c r="J8" s="6">
        <f>MIN(D8:H8)</f>
        <v/>
      </c>
      <c r="K8" s="6">
        <f>MAX(D8:H8)</f>
        <v/>
      </c>
    </row>
    <row r="9">
      <c r="A9" s="5" t="inlineStr">
        <is>
          <t>1.000.000 reqs</t>
        </is>
      </c>
      <c r="B9" s="5" t="inlineStr">
        <is>
          <t>Sequencial (1 thread)</t>
        </is>
      </c>
      <c r="C9" s="10" t="n">
        <v>1</v>
      </c>
      <c r="D9" s="11" t="n">
        <v>283</v>
      </c>
      <c r="E9" s="11" t="n">
        <v>513</v>
      </c>
      <c r="F9" s="11" t="n">
        <v>202</v>
      </c>
      <c r="G9" s="11" t="n">
        <v>92</v>
      </c>
      <c r="H9" s="11" t="n">
        <v>159</v>
      </c>
      <c r="I9" s="12">
        <f>AVERAGE(D9:H9)</f>
        <v/>
      </c>
      <c r="J9" s="6">
        <f>MIN(D9:H9)</f>
        <v/>
      </c>
      <c r="K9" s="6">
        <f>MAX(D9:H9)</f>
        <v/>
      </c>
    </row>
    <row r="10">
      <c r="A10" s="5" t="inlineStr">
        <is>
          <t>1.000.000 reqs</t>
        </is>
      </c>
      <c r="B10" s="5" t="inlineStr">
        <is>
          <t>Paralelo (2 threads)</t>
        </is>
      </c>
      <c r="C10" s="10" t="n">
        <v>2</v>
      </c>
      <c r="D10" s="11" t="n">
        <v>185</v>
      </c>
      <c r="E10" s="11" t="n">
        <v>92</v>
      </c>
      <c r="F10" s="11" t="n">
        <v>96</v>
      </c>
      <c r="G10" s="11" t="n">
        <v>137</v>
      </c>
      <c r="H10" s="11" t="n">
        <v>234</v>
      </c>
      <c r="I10" s="12">
        <f>AVERAGE(D10:H10)</f>
        <v/>
      </c>
      <c r="J10" s="6">
        <f>MIN(D10:H10)</f>
        <v/>
      </c>
      <c r="K10" s="6">
        <f>MAX(D10:H10)</f>
        <v/>
      </c>
    </row>
    <row r="11">
      <c r="A11" s="5" t="inlineStr">
        <is>
          <t>1.000.000 reqs</t>
        </is>
      </c>
      <c r="B11" s="5" t="inlineStr">
        <is>
          <t>Paralelo (4 threads)</t>
        </is>
      </c>
      <c r="C11" s="10" t="n">
        <v>4</v>
      </c>
      <c r="D11" s="11" t="n">
        <v>50</v>
      </c>
      <c r="E11" s="11" t="n">
        <v>232</v>
      </c>
      <c r="F11" s="11" t="n">
        <v>51</v>
      </c>
      <c r="G11" s="11" t="n">
        <v>49</v>
      </c>
      <c r="H11" s="11" t="n">
        <v>60</v>
      </c>
      <c r="I11" s="12">
        <f>AVERAGE(D11:H11)</f>
        <v/>
      </c>
      <c r="J11" s="6">
        <f>MIN(D11:H11)</f>
        <v/>
      </c>
      <c r="K11" s="6">
        <f>MAX(D11:H11)</f>
        <v/>
      </c>
    </row>
    <row r="12">
      <c r="A12" s="5" t="inlineStr">
        <is>
          <t>1.000.000 reqs</t>
        </is>
      </c>
      <c r="B12" s="5" t="inlineStr">
        <is>
          <t>Paralelo (8 threads)</t>
        </is>
      </c>
      <c r="C12" s="10" t="n">
        <v>8</v>
      </c>
      <c r="D12" s="11" t="n">
        <v>167</v>
      </c>
      <c r="E12" s="11" t="n">
        <v>24</v>
      </c>
      <c r="F12" s="11" t="n">
        <v>36</v>
      </c>
      <c r="G12" s="11" t="n">
        <v>72</v>
      </c>
      <c r="H12" s="11" t="n">
        <v>18</v>
      </c>
      <c r="I12" s="12">
        <f>AVERAGE(D12:H12)</f>
        <v/>
      </c>
      <c r="J12" s="6">
        <f>MIN(D12:H12)</f>
        <v/>
      </c>
      <c r="K12" s="6">
        <f>MAX(D12:H12)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showGridLines="1" workbookViewId="0">
      <selection activeCell="A1" sqref="A1"/>
    </sheetView>
  </sheetViews>
  <sheetFormatPr baseColWidth="8" defaultRowHeight="15"/>
  <cols>
    <col width="110" customWidth="1" min="1" max="1"/>
  </cols>
  <sheetData>
    <row r="1">
      <c r="A1" s="1" t="inlineStr">
        <is>
          <t>Relatório Técnico - Justificativa e Análise de Desempenho</t>
        </is>
      </c>
    </row>
    <row r="3">
      <c r="A3" s="3" t="inlineStr">
        <is>
          <t>CARD 18 - JUSTIFICATIVA TÉCNICA (OPERAÇÃO, BIG-O, GARGALO E PARTICIONAMENTO)</t>
        </is>
      </c>
    </row>
    <row r="4" ht="250" customHeight="1">
      <c r="A4" s="13" t="inlineStr">
        <is>
          <t>1. Operação Escolhida:
O projeto processa registros de atendimento hospitalar para calcular, por hospital (hospitalId), a quantidade total de requisições, o somatório dos tempos de atendimento e a média de tempo de cada unidade.
2. Complexidade Assintótica (Big-O) da Versão Sequencial:
A versão sequencial executa um laço único que percorre toda a lista de N requisições exatamente uma vez. A cada iteração, realiza uma busca e inserção/atualização em um HashMap&lt;String, EstatisticaHospital&gt;.
- Como a tabela hash possui poucas chaves (10 hospitais constantes) e resolução de colisão eficiente, a busca e atualização ocorrem em tempo médio O(1).
- Logo, a complexidade temporal sequencial é linear: O(N).
- A complexidade espacial é O(K), onde K é o número de hospitais distintos (O(1) no nosso cenário de 10 hospitais).
3. Identificação do Gargalo (CPU-Bound vs I/O-Bound):
O gargalo desta computação é estritamente de CPU (CPU-Bound) e memória (acesso sequencial a objetos na heap), pois toda a massa de dados é gerada e mantida em memória RAM, sem operações de disco, banco de dados ou rede durante o laço cronometrado. Portanto, o uso de múltiplas threads tira proveito real dos núcleos físicos/lógicos do processador.
4. Viabilidade de Particionamento dos Dados:
A operação de agregação estatística é associativa e comutativa:
- Total(A + B) = Total(A) + Total(B)
- Soma(A + B) = Soma(A) + Soma(B)
- Média = Soma_Total / Total
Portanto, a lista de dados pode ser facilmente dividida em P partições disjuntas (usando subList, que gera views sem duplicar memória). Cada thread acumula as estatísticas de sua partição em um mapa local e, ao final, uma etapa rápida de "Reduce" agrega os mapas parciais sem necessidade de sincronização (lock) durante o laço principal.</t>
        </is>
      </c>
    </row>
    <row r="6">
      <c r="A6" s="3" t="inlineStr">
        <is>
          <t>CARD 19 - ANÁLISE DE RESULTADOS (SPEEDUP NÃO-LINEAR, CONCORRÊNCIA X PARALELISMO E ARQUITETURA)</t>
        </is>
      </c>
    </row>
    <row r="7" ht="300" customHeight="1">
      <c r="A7" s="13" t="inlineStr">
        <is>
          <t>1. Por que o Speedup não foi Linear? (Lei de Amdahl e Overheads):
O speedup teórico ideal com P processadores seria P (linear). Na prática:
- Para 1 milhão de registros, obtivemos ~1,68x com 2 threads, ~2,83x com 4 threads e ~3,94x com 8 threads.
- O ganho não é perfeitamente linear devido à Lei de Amdahl e a custos fixos inevitáveis da JVM: overhead de instanciação/gerenciamento do pool de threads (ExecutorService), custo de chaveamento de contexto (context switching) do sistema operacional, disputa de barramento de memória cache L1/L2/L3 e a etapa sequencial final de agregação (merge) dos mapas parciais.
- Para 100.000 registros, o tempo de execução é tão ínfimo (~4 a 10ms) que o overhead de criação e sincronização das threads é comparável ao tempo do próprio trabalho, fazendo com que 2 ou 4 threads não demonstrem ganho expressivo sobre a versão de 1 thread.
2. A Complexidade Big-O Mudou?
A complexidade de trabalho total (Work Complexity) continua O(N), pois a quantidade total de adições e iterações é invariante. Já a complexidade de passo ou tempo de execução paralelo (Span / Depth) torna-se idealmente O(N/P + K*P), onde P é o número de threads e K o número de hospitais a fundir no final.
3. Concorrência vs. Paralelismo (Analogia da Mesa DJ):
- Concorrência é sobre ESTRUTURA e lidar com múltiplas tarefas intercaladas no tempo (ex.: um único DJ alternando rapidamente entre dois pratos de vinil, controlando transições, efeitos e fones com as mesmas duas mãos).
- Paralelismo é sobre EXECUÇÃO SIMULTÂNEA no mesmo instante físico (ex.: dois ou mais DJs tocando cada um seu próprio sintetizador ou prato exatamente ao mesmo tempo em uma mesa com múltiplos canais independentes).
Na versão com threads do Rota Vital, se a máquina possui múltiplos núcleos de CPU, temos paralelismo real de hardware.
4. Evolução da Arquitetura Além de 8 Threads:
Caso o volume aumente para 100 milhões ou bilhões de registros:
- Threads tradicionais do SO esbarrariam no limite de núcleos físicos e no custo de troca de contexto.
- A evolução passaria por: uso de Java 21 Virtual Threads (Project Loom) para tarefas I/O bound, ou Frameworks de processamento distribuído (como Apache Spark ou Apache Flink), particionamento com streaming paralelo (Stream API com Spliterator customizado) e alocação de memória off-heap para evitar pausas do Garbage Collector (GC).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2026-09-21T01:44:08Z</dcterms:created>
  <dcterms:modified xmlns:dcterms="http://purl.org/dc/terms/" xmlns:xsi="http://www.w3.org/2001/XMLSchema-instance" xsi:type="dcterms:W3CDTF">2026-09-21T01:44:08Z</dcterms:modified>
</cp:coreProperties>
</file>